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Downloads\Plantillas SCRUM\"/>
    </mc:Choice>
  </mc:AlternateContent>
  <bookViews>
    <workbookView xWindow="0" yWindow="0" windowWidth="20490" windowHeight="8820"/>
  </bookViews>
  <sheets>
    <sheet name="Sprint" sheetId="1" r:id="rId1"/>
  </sheets>
  <calcPr calcId="162913"/>
  <extLst>
    <ext uri="GoogleSheetsCustomDataVersion2">
      <go:sheetsCustomData xmlns:go="http://customooxmlschemas.google.com/" r:id="rId5" roundtripDataChecksum="Z/po+bLeb4jCy+J5FQOgc9ZmF5+SaE1craDJseZeoyA="/>
    </ext>
  </extLst>
</workbook>
</file>

<file path=xl/calcChain.xml><?xml version="1.0" encoding="utf-8"?>
<calcChain xmlns="http://schemas.openxmlformats.org/spreadsheetml/2006/main">
  <c r="P17" i="1" l="1"/>
  <c r="B17" i="1"/>
  <c r="M16" i="1"/>
  <c r="N16" i="1" s="1"/>
  <c r="H16" i="1"/>
  <c r="G17" i="1" s="1"/>
  <c r="C16" i="1"/>
  <c r="D16" i="1" s="1"/>
  <c r="B16" i="1"/>
  <c r="P15" i="1"/>
  <c r="C14" i="1"/>
  <c r="D14" i="1" s="1"/>
  <c r="B14" i="1"/>
  <c r="Q12" i="1"/>
  <c r="Q11" i="1"/>
  <c r="Q10" i="1"/>
  <c r="Q9" i="1"/>
  <c r="Q8" i="1"/>
  <c r="Q7" i="1"/>
  <c r="Q6" i="1"/>
  <c r="Q5" i="1"/>
  <c r="E14" i="1" l="1"/>
  <c r="C15" i="1"/>
  <c r="E16" i="1"/>
  <c r="C17" i="1"/>
  <c r="O16" i="1"/>
  <c r="M17" i="1"/>
  <c r="B15" i="1"/>
  <c r="L17" i="1"/>
  <c r="I16" i="1"/>
  <c r="F16" i="1" l="1"/>
  <c r="D17" i="1"/>
  <c r="N17" i="1"/>
  <c r="P16" i="1"/>
  <c r="O17" i="1" s="1"/>
  <c r="H17" i="1"/>
  <c r="J16" i="1"/>
  <c r="F14" i="1"/>
  <c r="D15" i="1"/>
  <c r="E15" i="1" l="1"/>
  <c r="G14" i="1"/>
  <c r="K16" i="1"/>
  <c r="I17" i="1"/>
  <c r="G16" i="1"/>
  <c r="F17" i="1" s="1"/>
  <c r="E17" i="1"/>
  <c r="J17" i="1" l="1"/>
  <c r="L16" i="1"/>
  <c r="K17" i="1" s="1"/>
  <c r="F15" i="1"/>
  <c r="H14" i="1"/>
  <c r="I14" i="1" l="1"/>
  <c r="G15" i="1"/>
  <c r="J14" i="1" l="1"/>
  <c r="H15" i="1"/>
  <c r="K14" i="1" l="1"/>
  <c r="I15" i="1"/>
  <c r="L14" i="1" l="1"/>
  <c r="J15" i="1"/>
  <c r="M14" i="1" l="1"/>
  <c r="K15" i="1"/>
  <c r="L15" i="1" l="1"/>
  <c r="N14" i="1"/>
  <c r="M15" i="1" l="1"/>
  <c r="O14" i="1"/>
  <c r="N15" i="1" l="1"/>
  <c r="P14" i="1"/>
  <c r="O15" i="1" s="1"/>
</calcChain>
</file>

<file path=xl/sharedStrings.xml><?xml version="1.0" encoding="utf-8"?>
<sst xmlns="http://schemas.openxmlformats.org/spreadsheetml/2006/main" count="15" uniqueCount="15">
  <si>
    <t>Control del Sprint 1 de 2 semanas</t>
  </si>
  <si>
    <t xml:space="preserve">Tareas </t>
  </si>
  <si>
    <t>Horas estimadas</t>
  </si>
  <si>
    <t>DIA</t>
  </si>
  <si>
    <t>Total</t>
  </si>
  <si>
    <t>US-01-T01</t>
  </si>
  <si>
    <t>US-01-T02</t>
  </si>
  <si>
    <t>US-02-T01</t>
  </si>
  <si>
    <t>US-02-T02</t>
  </si>
  <si>
    <t>US-03-T01</t>
  </si>
  <si>
    <t>US-03-T02</t>
  </si>
  <si>
    <t>US-04-T01</t>
  </si>
  <si>
    <t>US-04-T02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</si>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</sst>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n-US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Sprint!$C$2:$H$2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Sprint!$C$14:$H$14</c:f>
              <c:numCache>
                <c:formatCode>General</c:formatCode>
                <c:ptCount val="6"/>
                <c:pt idx="0">
                  <c:v>40</c:v>
                </c:pt>
                <c:pt idx="1">
                  <c:v>0</c:v>
                </c:pt>
                <c:pt idx="2">
                  <c:v>-39</c:v>
                </c:pt>
                <c:pt idx="3">
                  <c:v>-76</c:v>
                </c:pt>
                <c:pt idx="4">
                  <c:v>-106</c:v>
                </c:pt>
                <c:pt idx="5">
                  <c:v>-106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D-4C72-A3D8-9BDEC727E14E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Sprint!$C$2:$H$2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Sprint!$C$16:$H$16</c:f>
              <c:numCache>
                <c:formatCode>General</c:formatCode>
                <c:ptCount val="6"/>
                <c:pt idx="0">
                  <c:v>40</c:v>
                </c:pt>
                <c:pt idx="1">
                  <c:v>32</c:v>
                </c:pt>
                <c:pt idx="2">
                  <c:v>24</c:v>
                </c:pt>
                <c:pt idx="3">
                  <c:v>16</c:v>
                </c:pt>
                <c:pt idx="4">
                  <c:v>8</c:v>
                </c:pt>
                <c:pt idx="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D-4C72-A3D8-9BDEC727E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666103"/>
        <c:axId val="1200938071"/>
      </c:lineChart>
      <c:catAx>
        <c:axId val="1202666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0938071"/>
        <c:crosses val="autoZero"/>
        <c:auto val="1"/>
        <c:lblAlgn val="ctr"/>
        <c:lblOffset val="100"/>
        <c:noMultiLvlLbl val="1"/>
      </c:catAx>
      <c:valAx>
        <c:axId val="1200938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2666103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638175</xdr:colOff>
      <xdr:row>1</xdr:row>
      <xdr:rowOff>9525</xdr:rowOff>
    </xdr:from>
    <xdr:ext cx="3524250" cy="5467350"/>
    <xdr:graphicFrame macro="">
      <xdr:nvGraphicFramePr>
        <xdr:cNvPr id="105046186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9"/>
  <sheetViews>
    <sheetView tabSelected="1" workbookViewId="0">
      <selection activeCell="B18" sqref="B18"/>
    </sheetView>
  </sheetViews>
  <sheetFormatPr baseColWidth="10" defaultColWidth="14.42578125" defaultRowHeight="15" customHeight="1"/>
  <cols>
    <col min="1" max="1" width="26.28515625" customWidth="1"/>
    <col min="2" max="2" width="17" customWidth="1"/>
    <col min="3" max="8" width="4.5703125" customWidth="1"/>
    <col min="9" max="9" width="5.28515625" customWidth="1"/>
    <col min="10" max="10" width="5.140625" customWidth="1"/>
    <col min="11" max="11" width="5" customWidth="1"/>
    <col min="12" max="12" width="5.140625" customWidth="1"/>
    <col min="13" max="14" width="5.42578125" customWidth="1"/>
    <col min="15" max="15" width="5.140625" customWidth="1"/>
    <col min="16" max="16" width="5.85546875" customWidth="1"/>
    <col min="17" max="26" width="10.7109375" customWidth="1"/>
  </cols>
  <sheetData>
    <row r="1" spans="1:17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7" ht="14.25" customHeight="1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2"/>
      <c r="J2" s="2"/>
      <c r="K2" s="2"/>
      <c r="L2" s="2"/>
      <c r="M2" s="2"/>
      <c r="N2" s="2"/>
    </row>
    <row r="3" spans="1:17" ht="14.25" customHeight="1">
      <c r="A3" s="10" t="s">
        <v>1</v>
      </c>
      <c r="B3" s="10" t="s">
        <v>2</v>
      </c>
      <c r="C3" s="12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0" t="s">
        <v>4</v>
      </c>
    </row>
    <row r="4" spans="1:17" ht="14.25" customHeight="1">
      <c r="A4" s="11"/>
      <c r="B4" s="11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15"/>
    </row>
    <row r="5" spans="1:17" ht="36" customHeight="1">
      <c r="A5" s="5" t="s">
        <v>5</v>
      </c>
      <c r="B5" s="6">
        <v>4</v>
      </c>
      <c r="C5" s="5">
        <v>4</v>
      </c>
      <c r="D5" s="5">
        <v>3</v>
      </c>
      <c r="E5" s="5">
        <v>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7">
        <f t="shared" ref="Q5:Q12" si="0">SUM(C5:H5)</f>
        <v>9</v>
      </c>
    </row>
    <row r="6" spans="1:17" ht="35.25" customHeight="1">
      <c r="A6" s="5" t="s">
        <v>6</v>
      </c>
      <c r="B6" s="6">
        <v>4</v>
      </c>
      <c r="C6" s="5">
        <v>4</v>
      </c>
      <c r="D6" s="5">
        <v>4</v>
      </c>
      <c r="E6" s="5">
        <v>3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7">
        <f t="shared" si="0"/>
        <v>13</v>
      </c>
    </row>
    <row r="7" spans="1:17" ht="29.25" customHeight="1">
      <c r="A7" s="5" t="s">
        <v>7</v>
      </c>
      <c r="B7" s="6">
        <v>4</v>
      </c>
      <c r="C7" s="5">
        <v>4</v>
      </c>
      <c r="D7" s="5">
        <v>4</v>
      </c>
      <c r="E7" s="5">
        <v>4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7">
        <f t="shared" si="0"/>
        <v>14</v>
      </c>
    </row>
    <row r="8" spans="1:17" ht="27" customHeight="1">
      <c r="A8" s="5" t="s">
        <v>8</v>
      </c>
      <c r="B8" s="6">
        <v>4</v>
      </c>
      <c r="C8" s="5">
        <v>4</v>
      </c>
      <c r="D8" s="5">
        <v>4</v>
      </c>
      <c r="E8" s="5">
        <v>4</v>
      </c>
      <c r="F8" s="5">
        <v>4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7">
        <f t="shared" si="0"/>
        <v>18</v>
      </c>
    </row>
    <row r="9" spans="1:17" ht="25.5" customHeight="1">
      <c r="A9" s="5" t="s">
        <v>9</v>
      </c>
      <c r="B9" s="6">
        <v>4</v>
      </c>
      <c r="C9" s="5">
        <v>4</v>
      </c>
      <c r="D9" s="5">
        <v>4</v>
      </c>
      <c r="E9" s="5">
        <v>4</v>
      </c>
      <c r="F9" s="5">
        <v>4</v>
      </c>
      <c r="G9" s="5">
        <v>3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7">
        <f t="shared" si="0"/>
        <v>20</v>
      </c>
    </row>
    <row r="10" spans="1:17" ht="28.5" customHeight="1">
      <c r="A10" s="5" t="s">
        <v>10</v>
      </c>
      <c r="B10" s="6">
        <v>4</v>
      </c>
      <c r="C10" s="5">
        <v>4</v>
      </c>
      <c r="D10" s="5">
        <v>4</v>
      </c>
      <c r="E10" s="5">
        <v>4</v>
      </c>
      <c r="F10" s="5">
        <v>4</v>
      </c>
      <c r="G10" s="5">
        <v>4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7">
        <f t="shared" si="0"/>
        <v>22</v>
      </c>
    </row>
    <row r="11" spans="1:17" ht="24.75" customHeight="1">
      <c r="A11" s="5" t="s">
        <v>11</v>
      </c>
      <c r="B11" s="6">
        <v>8</v>
      </c>
      <c r="C11" s="5">
        <v>8</v>
      </c>
      <c r="D11" s="5">
        <v>8</v>
      </c>
      <c r="E11" s="5">
        <v>8</v>
      </c>
      <c r="F11" s="5">
        <v>6</v>
      </c>
      <c r="G11" s="5">
        <v>4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7">
        <f t="shared" si="0"/>
        <v>36</v>
      </c>
    </row>
    <row r="12" spans="1:17" ht="26.25" customHeight="1">
      <c r="A12" s="5" t="s">
        <v>12</v>
      </c>
      <c r="B12" s="6">
        <v>8</v>
      </c>
      <c r="C12" s="5">
        <v>8</v>
      </c>
      <c r="D12" s="5">
        <v>8</v>
      </c>
      <c r="E12" s="5">
        <v>8</v>
      </c>
      <c r="F12" s="5">
        <v>8</v>
      </c>
      <c r="G12" s="5">
        <v>6</v>
      </c>
      <c r="H12" s="5">
        <v>4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7">
        <f t="shared" si="0"/>
        <v>42</v>
      </c>
    </row>
    <row r="13" spans="1:17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 ht="14.25" customHeight="1">
      <c r="A14" s="2"/>
      <c r="B14" s="3">
        <f>SUM(B5:B13)</f>
        <v>40</v>
      </c>
      <c r="C14" s="3">
        <f>B14</f>
        <v>40</v>
      </c>
      <c r="D14" s="3">
        <f t="shared" ref="D14:G14" si="1">C14-SUM(C5:C12)</f>
        <v>0</v>
      </c>
      <c r="E14" s="3">
        <f t="shared" si="1"/>
        <v>-39</v>
      </c>
      <c r="F14" s="3">
        <f t="shared" si="1"/>
        <v>-76</v>
      </c>
      <c r="G14" s="3">
        <f t="shared" si="1"/>
        <v>-106</v>
      </c>
      <c r="H14" s="3">
        <f>G14</f>
        <v>-106</v>
      </c>
      <c r="I14" s="3">
        <f t="shared" ref="I14:L14" si="2">H14-SUM(H5:H12)</f>
        <v>-115</v>
      </c>
      <c r="J14" s="3">
        <f t="shared" si="2"/>
        <v>-117</v>
      </c>
      <c r="K14" s="3">
        <f t="shared" si="2"/>
        <v>-117</v>
      </c>
      <c r="L14" s="3">
        <f t="shared" si="2"/>
        <v>-117</v>
      </c>
      <c r="M14" s="3">
        <f>L14</f>
        <v>-117</v>
      </c>
      <c r="N14" s="3">
        <f t="shared" ref="N14:P14" si="3">M14-SUM(M5:M12)</f>
        <v>-117</v>
      </c>
      <c r="O14" s="3">
        <f t="shared" si="3"/>
        <v>-117</v>
      </c>
      <c r="P14" s="3">
        <f t="shared" si="3"/>
        <v>-117</v>
      </c>
    </row>
    <row r="15" spans="1:17" ht="14.25" customHeight="1">
      <c r="A15" s="8" t="s">
        <v>13</v>
      </c>
      <c r="B15" s="2">
        <f t="shared" ref="B15:P15" si="4">C14</f>
        <v>40</v>
      </c>
      <c r="C15" s="2">
        <f t="shared" si="4"/>
        <v>0</v>
      </c>
      <c r="D15" s="2">
        <f t="shared" si="4"/>
        <v>-39</v>
      </c>
      <c r="E15" s="2">
        <f t="shared" si="4"/>
        <v>-76</v>
      </c>
      <c r="F15" s="2">
        <f t="shared" si="4"/>
        <v>-106</v>
      </c>
      <c r="G15" s="2">
        <f t="shared" si="4"/>
        <v>-106</v>
      </c>
      <c r="H15" s="2">
        <f t="shared" si="4"/>
        <v>-115</v>
      </c>
      <c r="I15" s="2">
        <f t="shared" si="4"/>
        <v>-117</v>
      </c>
      <c r="J15" s="2">
        <f t="shared" si="4"/>
        <v>-117</v>
      </c>
      <c r="K15" s="2">
        <f t="shared" si="4"/>
        <v>-117</v>
      </c>
      <c r="L15" s="2">
        <f t="shared" si="4"/>
        <v>-117</v>
      </c>
      <c r="M15" s="2">
        <f t="shared" si="4"/>
        <v>-117</v>
      </c>
      <c r="N15" s="2">
        <f t="shared" si="4"/>
        <v>-117</v>
      </c>
      <c r="O15" s="2">
        <f t="shared" si="4"/>
        <v>-117</v>
      </c>
      <c r="P15" s="2">
        <f t="shared" si="4"/>
        <v>0</v>
      </c>
    </row>
    <row r="16" spans="1:17" ht="14.25" customHeight="1">
      <c r="A16" s="2"/>
      <c r="B16" s="3">
        <f>SUM(B5:B12)</f>
        <v>40</v>
      </c>
      <c r="C16" s="3">
        <f>SUM(B5:B12)</f>
        <v>40</v>
      </c>
      <c r="D16" s="3">
        <f t="shared" ref="D16:G16" si="5">C16-(SUM($B$5:$B$12)/5)</f>
        <v>32</v>
      </c>
      <c r="E16" s="3">
        <f t="shared" si="5"/>
        <v>24</v>
      </c>
      <c r="F16" s="3">
        <f t="shared" si="5"/>
        <v>16</v>
      </c>
      <c r="G16" s="3">
        <f t="shared" si="5"/>
        <v>8</v>
      </c>
      <c r="H16" s="3">
        <f>SUM(G5:G12)</f>
        <v>19</v>
      </c>
      <c r="I16" s="3">
        <f t="shared" ref="I16:L16" si="6">H16-(SUM($B$5:$B$12)/5)</f>
        <v>11</v>
      </c>
      <c r="J16" s="3">
        <f t="shared" si="6"/>
        <v>3</v>
      </c>
      <c r="K16" s="3">
        <f t="shared" si="6"/>
        <v>-5</v>
      </c>
      <c r="L16" s="3">
        <f t="shared" si="6"/>
        <v>-13</v>
      </c>
      <c r="M16" s="3">
        <f>SUM(L5:L12)</f>
        <v>0</v>
      </c>
      <c r="N16" s="3">
        <f t="shared" ref="N16:P16" si="7">M16-(SUM($B$5:$B$12)/5)</f>
        <v>-8</v>
      </c>
      <c r="O16" s="3">
        <f t="shared" si="7"/>
        <v>-16</v>
      </c>
      <c r="P16" s="3">
        <f t="shared" si="7"/>
        <v>-24</v>
      </c>
    </row>
    <row r="17" spans="1:16" ht="14.25" customHeight="1">
      <c r="A17" s="8" t="s">
        <v>14</v>
      </c>
      <c r="B17" s="2">
        <f>B16</f>
        <v>40</v>
      </c>
      <c r="C17" s="2">
        <f t="shared" ref="C17:P17" si="8">D16</f>
        <v>32</v>
      </c>
      <c r="D17" s="2">
        <f t="shared" si="8"/>
        <v>24</v>
      </c>
      <c r="E17" s="2">
        <f t="shared" si="8"/>
        <v>16</v>
      </c>
      <c r="F17" s="2">
        <f t="shared" si="8"/>
        <v>8</v>
      </c>
      <c r="G17" s="2">
        <f t="shared" si="8"/>
        <v>19</v>
      </c>
      <c r="H17" s="2">
        <f t="shared" si="8"/>
        <v>11</v>
      </c>
      <c r="I17" s="2">
        <f t="shared" si="8"/>
        <v>3</v>
      </c>
      <c r="J17" s="2">
        <f t="shared" si="8"/>
        <v>-5</v>
      </c>
      <c r="K17" s="2">
        <f t="shared" si="8"/>
        <v>-13</v>
      </c>
      <c r="L17" s="2">
        <f t="shared" si="8"/>
        <v>0</v>
      </c>
      <c r="M17" s="2">
        <f t="shared" si="8"/>
        <v>-8</v>
      </c>
      <c r="N17" s="2">
        <f t="shared" si="8"/>
        <v>-16</v>
      </c>
      <c r="O17" s="2">
        <f t="shared" si="8"/>
        <v>-24</v>
      </c>
      <c r="P17" s="2">
        <f t="shared" si="8"/>
        <v>0</v>
      </c>
    </row>
    <row r="18" spans="1:16" ht="14.25" customHeight="1">
      <c r="A18" s="2"/>
      <c r="B18" s="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14.25" customHeight="1">
      <c r="A19" s="2"/>
      <c r="B19" s="9"/>
      <c r="C19" s="2"/>
      <c r="D19" s="2"/>
      <c r="E19" s="2"/>
      <c r="F19" s="2"/>
      <c r="G19" s="9"/>
      <c r="H19" s="2"/>
      <c r="I19" s="2"/>
      <c r="J19" s="2"/>
      <c r="K19" s="2"/>
      <c r="L19" s="2"/>
      <c r="M19" s="2"/>
      <c r="N19" s="2"/>
    </row>
    <row r="20" spans="1:16" ht="14.25" customHeight="1">
      <c r="A20" s="2"/>
      <c r="B20" s="9"/>
      <c r="C20" s="2"/>
      <c r="D20" s="2"/>
      <c r="E20" s="2"/>
      <c r="F20" s="2"/>
      <c r="G20" s="9"/>
      <c r="H20" s="2"/>
      <c r="I20" s="2"/>
      <c r="J20" s="2"/>
      <c r="K20" s="2"/>
      <c r="L20" s="2"/>
      <c r="M20" s="2"/>
      <c r="N20" s="2"/>
    </row>
    <row r="21" spans="1:16" ht="14.25" customHeight="1">
      <c r="A21" s="2"/>
      <c r="B21" s="9"/>
      <c r="C21" s="2"/>
      <c r="D21" s="2"/>
      <c r="E21" s="2"/>
      <c r="F21" s="2"/>
      <c r="G21" s="9"/>
      <c r="H21" s="2"/>
      <c r="I21" s="2"/>
      <c r="J21" s="2"/>
      <c r="K21" s="2"/>
      <c r="L21" s="2"/>
      <c r="M21" s="2"/>
      <c r="N21" s="2"/>
    </row>
    <row r="22" spans="1:16" ht="14.25" customHeight="1">
      <c r="A22" s="2"/>
      <c r="B22" s="9"/>
      <c r="C22" s="2"/>
      <c r="D22" s="2"/>
      <c r="E22" s="2"/>
      <c r="F22" s="2"/>
      <c r="G22" s="9"/>
      <c r="H22" s="2"/>
      <c r="I22" s="2"/>
      <c r="J22" s="2"/>
      <c r="K22" s="2"/>
      <c r="L22" s="2"/>
      <c r="M22" s="2"/>
      <c r="N22" s="2"/>
    </row>
    <row r="23" spans="1:16" ht="14.25" customHeight="1"/>
    <row r="24" spans="1:16" ht="14.25" customHeight="1"/>
    <row r="25" spans="1:16" ht="14.25" customHeight="1"/>
    <row r="26" spans="1:16" ht="14.25" customHeight="1"/>
    <row r="27" spans="1:16" ht="14.25" customHeight="1"/>
    <row r="28" spans="1:16" ht="14.25" customHeight="1"/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mergeCells count="4">
    <mergeCell ref="A3:A4"/>
    <mergeCell ref="B3:B4"/>
    <mergeCell ref="C3:P3"/>
    <mergeCell ref="Q3:Q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luis</cp:lastModifiedBy>
  <dcterms:created xsi:type="dcterms:W3CDTF">2018-02-12T12:05:26Z</dcterms:created>
  <dcterms:modified xsi:type="dcterms:W3CDTF">2026-05-22T18:44:03Z</dcterms:modified>
</cp:coreProperties>
</file>