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5YT3mfb5uQKzYwJNDHh5njPAT23wbzHSFwmZc9Xs2oU="/>
    </ext>
  </extLst>
</workbook>
</file>

<file path=xl/sharedStrings.xml><?xml version="1.0" encoding="utf-8"?>
<sst xmlns="http://schemas.openxmlformats.org/spreadsheetml/2006/main" count="11" uniqueCount="11">
  <si>
    <t>Control del Sprint 5 de 2 semanas</t>
  </si>
  <si>
    <t xml:space="preserve">Tareas </t>
  </si>
  <si>
    <t>Horas estimadas</t>
  </si>
  <si>
    <t>DIA</t>
  </si>
  <si>
    <t>Total</t>
  </si>
  <si>
    <t>US-19-T01</t>
  </si>
  <si>
    <t>US-19-T02</t>
  </si>
  <si>
    <t>US-21-T01</t>
  </si>
  <si>
    <t>US-21-T02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</si>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</sst>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1.0"/>
      <color theme="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2" numFmtId="0" xfId="0" applyBorder="1" applyFont="1"/>
    <xf borderId="7" fillId="0" fontId="4" numFmtId="0" xfId="0" applyBorder="1" applyFont="1"/>
    <xf borderId="8" fillId="3" fontId="2" numFmtId="0" xfId="0" applyAlignment="1" applyBorder="1" applyFill="1" applyFont="1">
      <alignment horizontal="center" readingOrder="0"/>
    </xf>
    <xf borderId="9" fillId="3" fontId="2" numFmtId="0" xfId="0" applyAlignment="1" applyBorder="1" applyFont="1">
      <alignment horizontal="center" shrinkToFit="0" wrapText="1"/>
    </xf>
    <xf borderId="8" fillId="3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 vertical="bottom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Ejemplo1!$C$2:$H$2</c:f>
            </c:strRef>
          </c:cat>
          <c:val>
            <c:numRef>
              <c:f>Ejemplo1!$C$10:$H$10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Ejemplo1!$C$2:$H$2</c:f>
            </c:strRef>
          </c:cat>
          <c:val>
            <c:numRef>
              <c:f>Ejemplo1!$C$12:$H$12</c:f>
              <c:numCache/>
            </c:numRef>
          </c:val>
          <c:smooth val="0"/>
        </c:ser>
        <c:axId val="800287339"/>
        <c:axId val="1520826719"/>
      </c:lineChart>
      <c:catAx>
        <c:axId val="800287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0826719"/>
      </c:catAx>
      <c:valAx>
        <c:axId val="1520826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028733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638175</xdr:colOff>
      <xdr:row>1</xdr:row>
      <xdr:rowOff>9525</xdr:rowOff>
    </xdr:from>
    <xdr:ext cx="3524250" cy="5467350"/>
    <xdr:graphicFrame>
      <xdr:nvGraphicFramePr>
        <xdr:cNvPr id="105046186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8" width="4.57"/>
    <col customWidth="1" min="9" max="9" width="5.29"/>
    <col customWidth="1" min="10" max="10" width="5.14"/>
    <col customWidth="1" min="11" max="11" width="5.0"/>
    <col customWidth="1" min="12" max="12" width="5.14"/>
    <col customWidth="1" min="13" max="14" width="5.43"/>
    <col customWidth="1" min="15" max="15" width="5.14"/>
    <col customWidth="1" min="16" max="16" width="5.86"/>
    <col customWidth="1" min="17" max="26" width="10.71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4.25" customHeight="1">
      <c r="A2" s="2"/>
      <c r="B2" s="2"/>
      <c r="C2" s="3">
        <v>0.0</v>
      </c>
      <c r="D2" s="3">
        <v>1.0</v>
      </c>
      <c r="E2" s="3">
        <v>2.0</v>
      </c>
      <c r="F2" s="3">
        <v>3.0</v>
      </c>
      <c r="G2" s="3">
        <v>4.0</v>
      </c>
      <c r="H2" s="3">
        <v>5.0</v>
      </c>
      <c r="I2" s="2"/>
      <c r="J2" s="2"/>
      <c r="K2" s="2"/>
      <c r="L2" s="2"/>
      <c r="M2" s="2"/>
      <c r="N2" s="2"/>
    </row>
    <row r="3" ht="14.25" customHeight="1">
      <c r="A3" s="4" t="s">
        <v>1</v>
      </c>
      <c r="B3" s="4" t="s">
        <v>2</v>
      </c>
      <c r="C3" s="5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 t="s">
        <v>4</v>
      </c>
    </row>
    <row r="4" ht="14.25" customHeight="1">
      <c r="A4" s="8"/>
      <c r="B4" s="8"/>
      <c r="C4" s="9">
        <v>1.0</v>
      </c>
      <c r="D4" s="9">
        <v>2.0</v>
      </c>
      <c r="E4" s="9">
        <v>3.0</v>
      </c>
      <c r="F4" s="9">
        <v>4.0</v>
      </c>
      <c r="G4" s="9">
        <v>5.0</v>
      </c>
      <c r="H4" s="9">
        <v>6.0</v>
      </c>
      <c r="I4" s="9">
        <v>7.0</v>
      </c>
      <c r="J4" s="9">
        <v>8.0</v>
      </c>
      <c r="K4" s="9">
        <v>9.0</v>
      </c>
      <c r="L4" s="9">
        <v>10.0</v>
      </c>
      <c r="M4" s="9">
        <v>11.0</v>
      </c>
      <c r="N4" s="9">
        <v>12.0</v>
      </c>
      <c r="O4" s="9">
        <v>13.0</v>
      </c>
      <c r="P4" s="9">
        <v>14.0</v>
      </c>
      <c r="Q4" s="10"/>
    </row>
    <row r="5" ht="36.0" customHeight="1">
      <c r="A5" s="11" t="s">
        <v>5</v>
      </c>
      <c r="B5" s="12">
        <v>4.0</v>
      </c>
      <c r="C5" s="13">
        <v>4.0</v>
      </c>
      <c r="D5" s="13">
        <v>3.0</v>
      </c>
      <c r="E5" s="13">
        <v>2.0</v>
      </c>
      <c r="F5" s="13">
        <v>0.0</v>
      </c>
      <c r="G5" s="13">
        <v>0.0</v>
      </c>
      <c r="H5" s="13">
        <v>0.0</v>
      </c>
      <c r="I5" s="13">
        <v>0.0</v>
      </c>
      <c r="J5" s="13">
        <v>0.0</v>
      </c>
      <c r="K5" s="13">
        <v>0.0</v>
      </c>
      <c r="L5" s="13">
        <v>0.0</v>
      </c>
      <c r="M5" s="13">
        <v>0.0</v>
      </c>
      <c r="N5" s="13">
        <v>0.0</v>
      </c>
      <c r="O5" s="13">
        <v>0.0</v>
      </c>
      <c r="P5" s="13">
        <v>0.0</v>
      </c>
      <c r="Q5" s="14">
        <v>4.0</v>
      </c>
    </row>
    <row r="6" ht="35.25" customHeight="1">
      <c r="A6" s="11" t="s">
        <v>6</v>
      </c>
      <c r="B6" s="12">
        <v>4.0</v>
      </c>
      <c r="C6" s="13">
        <v>4.0</v>
      </c>
      <c r="D6" s="13">
        <v>4.0</v>
      </c>
      <c r="E6" s="13">
        <v>3.0</v>
      </c>
      <c r="F6" s="13">
        <v>2.0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>
        <v>0.0</v>
      </c>
      <c r="P6" s="13">
        <v>0.0</v>
      </c>
      <c r="Q6" s="14">
        <v>4.0</v>
      </c>
    </row>
    <row r="7" ht="29.25" customHeight="1">
      <c r="A7" s="11" t="s">
        <v>7</v>
      </c>
      <c r="B7" s="12">
        <v>4.0</v>
      </c>
      <c r="C7" s="13">
        <v>4.0</v>
      </c>
      <c r="D7" s="13">
        <v>4.0</v>
      </c>
      <c r="E7" s="13">
        <v>4.0</v>
      </c>
      <c r="F7" s="13">
        <v>2.0</v>
      </c>
      <c r="G7" s="13">
        <v>0.0</v>
      </c>
      <c r="H7" s="13">
        <v>0.0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0.0</v>
      </c>
      <c r="O7" s="13">
        <v>0.0</v>
      </c>
      <c r="P7" s="13">
        <v>0.0</v>
      </c>
      <c r="Q7" s="14">
        <v>5.0</v>
      </c>
    </row>
    <row r="8" ht="27.0" customHeight="1">
      <c r="A8" s="11" t="s">
        <v>8</v>
      </c>
      <c r="B8" s="12">
        <v>4.0</v>
      </c>
      <c r="C8" s="13">
        <v>4.0</v>
      </c>
      <c r="D8" s="13">
        <v>4.0</v>
      </c>
      <c r="E8" s="13">
        <v>4.0</v>
      </c>
      <c r="F8" s="13">
        <v>4.0</v>
      </c>
      <c r="G8" s="13">
        <v>2.0</v>
      </c>
      <c r="H8" s="13">
        <v>0.0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3">
        <v>0.0</v>
      </c>
      <c r="P8" s="13">
        <v>0.0</v>
      </c>
      <c r="Q8" s="14">
        <v>5.0</v>
      </c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ht="14.25" customHeight="1">
      <c r="A10" s="2"/>
      <c r="B10" s="3">
        <f>SUM(B5:B9)</f>
        <v>16</v>
      </c>
      <c r="C10" s="3">
        <f>B10</f>
        <v>16</v>
      </c>
      <c r="D10" s="3">
        <f t="shared" ref="D10:G10" si="1">C10-SUM(C5:C8)</f>
        <v>0</v>
      </c>
      <c r="E10" s="3">
        <f t="shared" si="1"/>
        <v>-15</v>
      </c>
      <c r="F10" s="3">
        <f t="shared" si="1"/>
        <v>-28</v>
      </c>
      <c r="G10" s="3">
        <f t="shared" si="1"/>
        <v>-36</v>
      </c>
      <c r="H10" s="3">
        <f>G10</f>
        <v>-36</v>
      </c>
      <c r="I10" s="3">
        <f t="shared" ref="I10:L10" si="2">H10-SUM(H5:H8)</f>
        <v>-36</v>
      </c>
      <c r="J10" s="3">
        <f t="shared" si="2"/>
        <v>-36</v>
      </c>
      <c r="K10" s="3">
        <f t="shared" si="2"/>
        <v>-36</v>
      </c>
      <c r="L10" s="3">
        <f t="shared" si="2"/>
        <v>-36</v>
      </c>
      <c r="M10" s="3">
        <f>L10</f>
        <v>-36</v>
      </c>
      <c r="N10" s="3">
        <f t="shared" ref="N10:P10" si="3">M10-SUM(M5:M8)</f>
        <v>-36</v>
      </c>
      <c r="O10" s="3">
        <f t="shared" si="3"/>
        <v>-36</v>
      </c>
      <c r="P10" s="3">
        <f t="shared" si="3"/>
        <v>-36</v>
      </c>
    </row>
    <row r="11" ht="14.25" customHeight="1">
      <c r="A11" s="15" t="s">
        <v>9</v>
      </c>
      <c r="B11" s="2">
        <f t="shared" ref="B11:P11" si="4">C10</f>
        <v>16</v>
      </c>
      <c r="C11" s="2">
        <f t="shared" si="4"/>
        <v>0</v>
      </c>
      <c r="D11" s="2">
        <f t="shared" si="4"/>
        <v>-15</v>
      </c>
      <c r="E11" s="2">
        <f t="shared" si="4"/>
        <v>-28</v>
      </c>
      <c r="F11" s="2">
        <f t="shared" si="4"/>
        <v>-36</v>
      </c>
      <c r="G11" s="2">
        <f t="shared" si="4"/>
        <v>-36</v>
      </c>
      <c r="H11" s="2">
        <f t="shared" si="4"/>
        <v>-36</v>
      </c>
      <c r="I11" s="2">
        <f t="shared" si="4"/>
        <v>-36</v>
      </c>
      <c r="J11" s="2">
        <f t="shared" si="4"/>
        <v>-36</v>
      </c>
      <c r="K11" s="2">
        <f t="shared" si="4"/>
        <v>-36</v>
      </c>
      <c r="L11" s="2">
        <f t="shared" si="4"/>
        <v>-36</v>
      </c>
      <c r="M11" s="2">
        <f t="shared" si="4"/>
        <v>-36</v>
      </c>
      <c r="N11" s="2">
        <f t="shared" si="4"/>
        <v>-36</v>
      </c>
      <c r="O11" s="2">
        <f t="shared" si="4"/>
        <v>-36</v>
      </c>
      <c r="P11" s="2" t="str">
        <f t="shared" si="4"/>
        <v/>
      </c>
    </row>
    <row r="12" ht="14.25" customHeight="1">
      <c r="A12" s="2"/>
      <c r="B12" s="3">
        <f>SUM(B5:B8)</f>
        <v>16</v>
      </c>
      <c r="C12" s="3">
        <f>SUM(B5:B8)</f>
        <v>16</v>
      </c>
      <c r="D12" s="3">
        <f t="shared" ref="D12:G12" si="5">C12-(SUM($B$5:$B$8)/5)</f>
        <v>12.8</v>
      </c>
      <c r="E12" s="3">
        <f t="shared" si="5"/>
        <v>9.6</v>
      </c>
      <c r="F12" s="3">
        <f t="shared" si="5"/>
        <v>6.4</v>
      </c>
      <c r="G12" s="3">
        <f t="shared" si="5"/>
        <v>3.2</v>
      </c>
      <c r="H12" s="3">
        <f>SUM(G5:G8)</f>
        <v>2</v>
      </c>
      <c r="I12" s="3">
        <f t="shared" ref="I12:L12" si="6">H12-(SUM($B$5:$B$8)/5)</f>
        <v>-1.2</v>
      </c>
      <c r="J12" s="3">
        <f t="shared" si="6"/>
        <v>-4.4</v>
      </c>
      <c r="K12" s="3">
        <f t="shared" si="6"/>
        <v>-7.6</v>
      </c>
      <c r="L12" s="3">
        <f t="shared" si="6"/>
        <v>-10.8</v>
      </c>
      <c r="M12" s="3">
        <f>SUM(L5:L8)</f>
        <v>0</v>
      </c>
      <c r="N12" s="3">
        <f t="shared" ref="N12:P12" si="7">M12-(SUM($B$5:$B$8)/5)</f>
        <v>-3.2</v>
      </c>
      <c r="O12" s="3">
        <f t="shared" si="7"/>
        <v>-6.4</v>
      </c>
      <c r="P12" s="3">
        <f t="shared" si="7"/>
        <v>-9.6</v>
      </c>
    </row>
    <row r="13" ht="14.25" customHeight="1">
      <c r="A13" s="15" t="s">
        <v>10</v>
      </c>
      <c r="B13" s="2">
        <f>B12</f>
        <v>16</v>
      </c>
      <c r="C13" s="2">
        <f t="shared" ref="C13:P13" si="8">D12</f>
        <v>12.8</v>
      </c>
      <c r="D13" s="2">
        <f t="shared" si="8"/>
        <v>9.6</v>
      </c>
      <c r="E13" s="2">
        <f t="shared" si="8"/>
        <v>6.4</v>
      </c>
      <c r="F13" s="2">
        <f t="shared" si="8"/>
        <v>3.2</v>
      </c>
      <c r="G13" s="2">
        <f t="shared" si="8"/>
        <v>2</v>
      </c>
      <c r="H13" s="2">
        <f t="shared" si="8"/>
        <v>-1.2</v>
      </c>
      <c r="I13" s="2">
        <f t="shared" si="8"/>
        <v>-4.4</v>
      </c>
      <c r="J13" s="2">
        <f t="shared" si="8"/>
        <v>-7.6</v>
      </c>
      <c r="K13" s="2">
        <f t="shared" si="8"/>
        <v>-10.8</v>
      </c>
      <c r="L13" s="2">
        <f t="shared" si="8"/>
        <v>0</v>
      </c>
      <c r="M13" s="2">
        <f t="shared" si="8"/>
        <v>-3.2</v>
      </c>
      <c r="N13" s="2">
        <f t="shared" si="8"/>
        <v>-6.4</v>
      </c>
      <c r="O13" s="2">
        <f t="shared" si="8"/>
        <v>-9.6</v>
      </c>
      <c r="P13" s="2" t="str">
        <f t="shared" si="8"/>
        <v/>
      </c>
    </row>
    <row r="14" ht="14.25" customHeight="1">
      <c r="A14" s="2"/>
      <c r="B14" s="1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ht="14.25" customHeight="1">
      <c r="A15" s="2"/>
      <c r="B15" s="16"/>
      <c r="C15" s="2"/>
      <c r="D15" s="2"/>
      <c r="E15" s="2"/>
      <c r="F15" s="2"/>
      <c r="G15" s="16"/>
      <c r="H15" s="2"/>
      <c r="I15" s="2"/>
      <c r="J15" s="2"/>
      <c r="K15" s="2"/>
      <c r="L15" s="2"/>
      <c r="M15" s="2"/>
      <c r="N15" s="2"/>
    </row>
    <row r="16" ht="14.25" customHeight="1">
      <c r="A16" s="2"/>
      <c r="B16" s="16"/>
      <c r="C16" s="2"/>
      <c r="D16" s="2"/>
      <c r="E16" s="2"/>
      <c r="F16" s="2"/>
      <c r="G16" s="16"/>
      <c r="H16" s="2"/>
      <c r="I16" s="2"/>
      <c r="J16" s="2"/>
      <c r="K16" s="2"/>
      <c r="L16" s="2"/>
      <c r="M16" s="2"/>
      <c r="N16" s="2"/>
    </row>
    <row r="17" ht="14.25" customHeight="1">
      <c r="A17" s="2"/>
      <c r="B17" s="16"/>
      <c r="C17" s="2"/>
      <c r="D17" s="2"/>
      <c r="E17" s="2"/>
      <c r="F17" s="2"/>
      <c r="G17" s="16"/>
      <c r="H17" s="2"/>
      <c r="I17" s="2"/>
      <c r="J17" s="2"/>
      <c r="K17" s="2"/>
      <c r="L17" s="2"/>
      <c r="M17" s="2"/>
      <c r="N17" s="2"/>
    </row>
    <row r="18" ht="14.25" customHeight="1">
      <c r="A18" s="2"/>
      <c r="B18" s="16"/>
      <c r="C18" s="2"/>
      <c r="D18" s="2"/>
      <c r="E18" s="2"/>
      <c r="F18" s="2"/>
      <c r="G18" s="16"/>
      <c r="H18" s="2"/>
      <c r="I18" s="2"/>
      <c r="J18" s="2"/>
      <c r="K18" s="2"/>
      <c r="L18" s="2"/>
      <c r="M18" s="2"/>
      <c r="N18" s="2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</sheetData>
  <mergeCells count="4">
    <mergeCell ref="A3:A4"/>
    <mergeCell ref="B3:B4"/>
    <mergeCell ref="C3:P3"/>
    <mergeCell ref="Q3:Q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