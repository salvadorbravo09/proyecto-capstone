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is\OneDrive\Escritorio\Plantillas SCRUM\"/>
    </mc:Choice>
  </mc:AlternateContent>
  <bookViews>
    <workbookView xWindow="0" yWindow="0" windowWidth="10530" windowHeight="8280"/>
  </bookViews>
  <sheets>
    <sheet name="Ejemplo1" sheetId="1" r:id="rId1"/>
  </sheets>
  <calcPr calcId="162913"/>
  <extLst>
    <ext uri="GoogleSheetsCustomDataVersion2">
      <go:sheetsCustomData xmlns:go="http://customooxmlschemas.google.com/" r:id="rId5" roundtripDataChecksum="Z/po+bLeb4jCy+J5FQOgc9ZmF5+SaE1craDJseZeoyA="/>
    </ext>
  </extLst>
</workbook>
</file>

<file path=xl/calcChain.xml><?xml version="1.0" encoding="utf-8"?>
<calcChain xmlns="http://schemas.openxmlformats.org/spreadsheetml/2006/main">
  <c r="Q14" i="1" l="1"/>
  <c r="Q13" i="1"/>
  <c r="P19" i="1"/>
  <c r="M18" i="1"/>
  <c r="N18" i="1" s="1"/>
  <c r="H18" i="1"/>
  <c r="G19" i="1" s="1"/>
  <c r="C18" i="1"/>
  <c r="D18" i="1" s="1"/>
  <c r="B18" i="1"/>
  <c r="B19" i="1" s="1"/>
  <c r="P17" i="1"/>
  <c r="B16" i="1"/>
  <c r="C16" i="1" s="1"/>
  <c r="D16" i="1" s="1"/>
  <c r="Q12" i="1"/>
  <c r="Q11" i="1"/>
  <c r="Q10" i="1"/>
  <c r="Q9" i="1"/>
  <c r="Q8" i="1"/>
  <c r="Q7" i="1"/>
  <c r="Q6" i="1"/>
  <c r="Q5" i="1"/>
  <c r="E18" i="1" l="1"/>
  <c r="C19" i="1"/>
  <c r="E16" i="1"/>
  <c r="C17" i="1"/>
  <c r="O18" i="1"/>
  <c r="M19" i="1"/>
  <c r="I18" i="1"/>
  <c r="B17" i="1"/>
  <c r="L19" i="1"/>
  <c r="N19" i="1" l="1"/>
  <c r="P18" i="1"/>
  <c r="O19" i="1" s="1"/>
  <c r="H19" i="1"/>
  <c r="J18" i="1"/>
  <c r="F16" i="1"/>
  <c r="D17" i="1"/>
  <c r="F18" i="1"/>
  <c r="D19" i="1"/>
  <c r="G18" i="1" l="1"/>
  <c r="F19" i="1" s="1"/>
  <c r="E19" i="1"/>
  <c r="E17" i="1"/>
  <c r="G16" i="1"/>
  <c r="I19" i="1"/>
  <c r="K18" i="1"/>
  <c r="F17" i="1" l="1"/>
  <c r="H16" i="1"/>
  <c r="L18" i="1"/>
  <c r="K19" i="1" s="1"/>
  <c r="J19" i="1"/>
  <c r="G17" i="1" l="1"/>
  <c r="I16" i="1"/>
  <c r="J16" i="1" l="1"/>
  <c r="H17" i="1"/>
  <c r="K16" i="1" l="1"/>
  <c r="I17" i="1"/>
  <c r="L16" i="1" l="1"/>
  <c r="J17" i="1"/>
  <c r="M16" i="1" l="1"/>
  <c r="K17" i="1"/>
  <c r="L17" i="1" l="1"/>
  <c r="N16" i="1"/>
  <c r="M17" i="1" l="1"/>
  <c r="O16" i="1"/>
  <c r="N17" i="1" l="1"/>
  <c r="P16" i="1"/>
  <c r="O17" i="1" s="1"/>
</calcChain>
</file>

<file path=xl/sharedStrings.xml><?xml version="1.0" encoding="utf-8"?>
<sst xmlns="http://schemas.openxmlformats.org/spreadsheetml/2006/main" count="17" uniqueCount="17">
  <si>
    <t>Control del Sprint 1 de 2 semanas</t>
  </si>
  <si>
    <t xml:space="preserve">Tareas </t>
  </si>
  <si>
    <t>Horas estimadas</t>
  </si>
  <si>
    <t>DIA</t>
  </si>
  <si>
    <t>Total</t>
  </si>
  <si>
    <t>Horas Reales de producto por realizar</t>
  </si>
  <si>
    <t>Horas Estimadas de producto por realizar</t>
  </si>
  <si>
    <t>US-05-T01</t>
  </si>
  <si>
    <t>US-05-T02</t>
  </si>
  <si>
    <t>US-06-T01</t>
  </si>
  <si>
    <t>US-06-T02</t>
  </si>
  <si>
    <t>US-07-T01</t>
  </si>
  <si>
    <t>US-12-T01</t>
  </si>
  <si>
    <t>US-12-T02</t>
  </si>
  <si>
    <t>US-13-T02</t>
  </si>
  <si>
    <t>US-07-T02</t>
  </si>
  <si>
    <t>US-13-T01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</si>
</sst>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sz val="11"/>
      <color theme="0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0" borderId="0" xfId="0" applyFont="1"/>
    <xf numFmtId="0" fontId="2" fillId="2" borderId="6" xfId="0" applyFont="1" applyFill="1" applyBorder="1"/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4" fillId="0" borderId="5" xfId="0" applyFont="1" applyBorder="1"/>
    <xf numFmtId="0" fontId="2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Calibri Light"/>
              </a:defRPr>
            </a:pPr>
            <a:r>
              <a:rPr lang="en-US" sz="2000" b="0" i="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Horas Reales de producto por realizar</c:v>
          </c:tx>
          <c:spPr>
            <a:ln w="38100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Ejemplo1!$C$2:$H$2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Ejemplo1!$C$16:$H$16</c:f>
              <c:numCache>
                <c:formatCode>General</c:formatCode>
                <c:ptCount val="6"/>
                <c:pt idx="0">
                  <c:v>58</c:v>
                </c:pt>
                <c:pt idx="1">
                  <c:v>13</c:v>
                </c:pt>
                <c:pt idx="2">
                  <c:v>-25</c:v>
                </c:pt>
                <c:pt idx="3">
                  <c:v>-54</c:v>
                </c:pt>
                <c:pt idx="4">
                  <c:v>-74</c:v>
                </c:pt>
                <c:pt idx="5">
                  <c:v>-74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C0-43F0-B6E5-8472736AADD7}"/>
            </c:ext>
          </c:extLst>
        </c:ser>
        <c:ser>
          <c:idx val="1"/>
          <c:order val="1"/>
          <c:tx>
            <c:v>Horas Estimadas de producto por realizar</c:v>
          </c:tx>
          <c:spPr>
            <a:ln w="38100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Ejemplo1!$C$2:$H$2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Ejemplo1!$C$18:$H$18</c:f>
              <c:numCache>
                <c:formatCode>General</c:formatCode>
                <c:ptCount val="6"/>
                <c:pt idx="0">
                  <c:v>52</c:v>
                </c:pt>
                <c:pt idx="1">
                  <c:v>41.6</c:v>
                </c:pt>
                <c:pt idx="2">
                  <c:v>31.200000000000003</c:v>
                </c:pt>
                <c:pt idx="3">
                  <c:v>20.800000000000004</c:v>
                </c:pt>
                <c:pt idx="4">
                  <c:v>10.400000000000004</c:v>
                </c:pt>
                <c:pt idx="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C0-43F0-B6E5-8472736AA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2666103"/>
        <c:axId val="1200938071"/>
      </c:lineChart>
      <c:catAx>
        <c:axId val="1202666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900" b="0" i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0938071"/>
        <c:crosses val="autoZero"/>
        <c:auto val="1"/>
        <c:lblAlgn val="ctr"/>
        <c:lblOffset val="100"/>
        <c:noMultiLvlLbl val="1"/>
      </c:catAx>
      <c:valAx>
        <c:axId val="12009380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9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2666103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638175</xdr:colOff>
      <xdr:row>1</xdr:row>
      <xdr:rowOff>9525</xdr:rowOff>
    </xdr:from>
    <xdr:ext cx="3524250" cy="5467350"/>
    <xdr:graphicFrame macro="">
      <xdr:nvGraphicFramePr>
        <xdr:cNvPr id="105046186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79"/>
  <sheetViews>
    <sheetView tabSelected="1" topLeftCell="B1" zoomScale="90" zoomScaleNormal="90" workbookViewId="0">
      <selection activeCell="Y12" sqref="Y12"/>
    </sheetView>
  </sheetViews>
  <sheetFormatPr baseColWidth="10" defaultColWidth="14.42578125" defaultRowHeight="15" customHeight="1"/>
  <cols>
    <col min="1" max="1" width="26.28515625" customWidth="1"/>
    <col min="2" max="2" width="17" customWidth="1"/>
    <col min="3" max="8" width="4.5703125" customWidth="1"/>
    <col min="9" max="9" width="5.28515625" customWidth="1"/>
    <col min="10" max="10" width="5.140625" customWidth="1"/>
    <col min="11" max="11" width="5" customWidth="1"/>
    <col min="12" max="12" width="5.140625" customWidth="1"/>
    <col min="13" max="14" width="5.42578125" customWidth="1"/>
    <col min="15" max="15" width="5.140625" customWidth="1"/>
    <col min="16" max="16" width="5.85546875" customWidth="1"/>
    <col min="17" max="26" width="10.7109375" customWidth="1"/>
  </cols>
  <sheetData>
    <row r="1" spans="1:17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7" ht="14.25" customHeight="1">
      <c r="A2" s="2"/>
      <c r="B2" s="2"/>
      <c r="C2" s="3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2"/>
      <c r="J2" s="2"/>
      <c r="K2" s="2"/>
      <c r="L2" s="2"/>
      <c r="M2" s="2"/>
      <c r="N2" s="2"/>
    </row>
    <row r="3" spans="1:17" ht="14.25" customHeight="1">
      <c r="A3" s="10" t="s">
        <v>1</v>
      </c>
      <c r="B3" s="10" t="s">
        <v>2</v>
      </c>
      <c r="C3" s="12" t="s">
        <v>3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4"/>
      <c r="Q3" s="10" t="s">
        <v>4</v>
      </c>
    </row>
    <row r="4" spans="1:17" ht="14.25" customHeight="1">
      <c r="A4" s="11"/>
      <c r="B4" s="11"/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4">
        <v>11</v>
      </c>
      <c r="N4" s="4">
        <v>12</v>
      </c>
      <c r="O4" s="4">
        <v>13</v>
      </c>
      <c r="P4" s="4">
        <v>14</v>
      </c>
      <c r="Q4" s="15"/>
    </row>
    <row r="5" spans="1:17" ht="36" customHeight="1">
      <c r="A5" s="5" t="s">
        <v>7</v>
      </c>
      <c r="B5" s="6">
        <v>8</v>
      </c>
      <c r="C5" s="5">
        <v>5</v>
      </c>
      <c r="D5" s="5">
        <v>2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7">
        <f t="shared" ref="Q5:Q14" si="0">SUM(C5:H5)</f>
        <v>7</v>
      </c>
    </row>
    <row r="6" spans="1:17" ht="35.25" customHeight="1">
      <c r="A6" s="5" t="s">
        <v>8</v>
      </c>
      <c r="B6" s="6">
        <v>8</v>
      </c>
      <c r="C6" s="5">
        <v>8</v>
      </c>
      <c r="D6" s="5">
        <v>8</v>
      </c>
      <c r="E6" s="5">
        <v>6</v>
      </c>
      <c r="F6" s="5">
        <v>3</v>
      </c>
      <c r="G6" s="5">
        <v>1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7">
        <f t="shared" si="0"/>
        <v>26</v>
      </c>
    </row>
    <row r="7" spans="1:17" ht="29.25" customHeight="1">
      <c r="A7" s="5" t="s">
        <v>9</v>
      </c>
      <c r="B7" s="6">
        <v>8</v>
      </c>
      <c r="C7" s="5">
        <v>6</v>
      </c>
      <c r="D7" s="5">
        <v>4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7">
        <f t="shared" si="0"/>
        <v>12</v>
      </c>
    </row>
    <row r="8" spans="1:17" ht="27" customHeight="1">
      <c r="A8" s="5" t="s">
        <v>10</v>
      </c>
      <c r="B8" s="6">
        <v>8</v>
      </c>
      <c r="C8" s="5">
        <v>8</v>
      </c>
      <c r="D8" s="5">
        <v>8</v>
      </c>
      <c r="E8" s="5">
        <v>8</v>
      </c>
      <c r="F8" s="5">
        <v>6</v>
      </c>
      <c r="G8" s="5">
        <v>4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7">
        <f t="shared" si="0"/>
        <v>36</v>
      </c>
    </row>
    <row r="9" spans="1:17" ht="25.5" customHeight="1">
      <c r="A9" s="5" t="s">
        <v>11</v>
      </c>
      <c r="B9" s="6">
        <v>5</v>
      </c>
      <c r="C9" s="5">
        <v>3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7">
        <f t="shared" si="0"/>
        <v>4</v>
      </c>
    </row>
    <row r="10" spans="1:17" ht="28.5" customHeight="1">
      <c r="A10" s="5" t="s">
        <v>15</v>
      </c>
      <c r="B10" s="6">
        <v>5</v>
      </c>
      <c r="C10" s="5">
        <v>5</v>
      </c>
      <c r="D10" s="5">
        <v>5</v>
      </c>
      <c r="E10" s="5">
        <v>3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7">
        <f t="shared" si="0"/>
        <v>14</v>
      </c>
    </row>
    <row r="11" spans="1:17" ht="24.75" customHeight="1">
      <c r="A11" s="5" t="s">
        <v>12</v>
      </c>
      <c r="B11" s="6">
        <v>5</v>
      </c>
      <c r="C11" s="5">
        <v>5</v>
      </c>
      <c r="D11" s="5">
        <v>5</v>
      </c>
      <c r="E11" s="5">
        <v>5</v>
      </c>
      <c r="F11" s="5">
        <v>5</v>
      </c>
      <c r="G11" s="5">
        <v>5</v>
      </c>
      <c r="H11" s="5">
        <v>5</v>
      </c>
      <c r="I11" s="5">
        <v>3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7">
        <f t="shared" si="0"/>
        <v>30</v>
      </c>
    </row>
    <row r="12" spans="1:17" ht="26.25" customHeight="1">
      <c r="A12" s="5" t="s">
        <v>13</v>
      </c>
      <c r="B12" s="6">
        <v>5</v>
      </c>
      <c r="C12" s="5">
        <v>5</v>
      </c>
      <c r="D12" s="5">
        <v>5</v>
      </c>
      <c r="E12" s="5">
        <v>5</v>
      </c>
      <c r="F12" s="5">
        <v>5</v>
      </c>
      <c r="G12" s="5">
        <v>5</v>
      </c>
      <c r="H12" s="5">
        <v>3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7">
        <f t="shared" si="0"/>
        <v>28</v>
      </c>
    </row>
    <row r="13" spans="1:17" ht="27" customHeight="1">
      <c r="A13" s="5" t="s">
        <v>16</v>
      </c>
      <c r="B13" s="6">
        <v>3</v>
      </c>
      <c r="C13" s="5">
        <v>3</v>
      </c>
      <c r="D13" s="5">
        <v>3</v>
      </c>
      <c r="E13" s="5">
        <v>3</v>
      </c>
      <c r="F13" s="5">
        <v>3</v>
      </c>
      <c r="G13" s="5">
        <v>3</v>
      </c>
      <c r="H13" s="5">
        <v>3</v>
      </c>
      <c r="I13" s="5">
        <v>3</v>
      </c>
      <c r="J13" s="5">
        <v>3</v>
      </c>
      <c r="K13" s="5">
        <v>1</v>
      </c>
      <c r="L13" s="5">
        <v>1</v>
      </c>
      <c r="M13" s="5">
        <v>0</v>
      </c>
      <c r="N13" s="5">
        <v>0</v>
      </c>
      <c r="O13" s="5">
        <v>0</v>
      </c>
      <c r="P13" s="5">
        <v>0</v>
      </c>
      <c r="Q13" s="7">
        <f t="shared" si="0"/>
        <v>18</v>
      </c>
    </row>
    <row r="14" spans="1:17" ht="24.75" customHeight="1">
      <c r="A14" s="5" t="s">
        <v>14</v>
      </c>
      <c r="B14" s="6">
        <v>3</v>
      </c>
      <c r="C14" s="5">
        <v>3</v>
      </c>
      <c r="D14" s="5">
        <v>3</v>
      </c>
      <c r="E14" s="5">
        <v>3</v>
      </c>
      <c r="F14" s="5">
        <v>3</v>
      </c>
      <c r="G14" s="5">
        <v>3</v>
      </c>
      <c r="H14" s="5">
        <v>3</v>
      </c>
      <c r="I14" s="5">
        <v>3</v>
      </c>
      <c r="J14" s="5">
        <v>2</v>
      </c>
      <c r="K14" s="5">
        <v>1</v>
      </c>
      <c r="L14" s="5">
        <v>1</v>
      </c>
      <c r="M14" s="5">
        <v>0</v>
      </c>
      <c r="N14" s="5">
        <v>0</v>
      </c>
      <c r="O14" s="5">
        <v>0</v>
      </c>
      <c r="P14" s="5">
        <v>0</v>
      </c>
      <c r="Q14" s="7">
        <f t="shared" si="0"/>
        <v>18</v>
      </c>
    </row>
    <row r="15" spans="1:17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7" ht="14.25" customHeight="1">
      <c r="A16" s="2"/>
      <c r="B16" s="3">
        <f>SUM(B5:B15)</f>
        <v>58</v>
      </c>
      <c r="C16" s="3">
        <f>B16</f>
        <v>58</v>
      </c>
      <c r="D16" s="3">
        <f>C16-SUM(C5:C12)</f>
        <v>13</v>
      </c>
      <c r="E16" s="3">
        <f>D16-SUM(D5:D12)</f>
        <v>-25</v>
      </c>
      <c r="F16" s="3">
        <f>E16-SUM(E5:E12)</f>
        <v>-54</v>
      </c>
      <c r="G16" s="3">
        <f>F16-SUM(F5:F12)</f>
        <v>-74</v>
      </c>
      <c r="H16" s="3">
        <f>G16</f>
        <v>-74</v>
      </c>
      <c r="I16" s="3">
        <f>H16-SUM(H5:H12)</f>
        <v>-84</v>
      </c>
      <c r="J16" s="3">
        <f>I16-SUM(I5:I12)</f>
        <v>-88</v>
      </c>
      <c r="K16" s="3">
        <f>J16-SUM(J5:J12)</f>
        <v>-89</v>
      </c>
      <c r="L16" s="3">
        <f>K16-SUM(K5:K12)</f>
        <v>-89</v>
      </c>
      <c r="M16" s="3">
        <f>L16</f>
        <v>-89</v>
      </c>
      <c r="N16" s="3">
        <f>M16-SUM(M5:M12)</f>
        <v>-89</v>
      </c>
      <c r="O16" s="3">
        <f>N16-SUM(N5:N12)</f>
        <v>-89</v>
      </c>
      <c r="P16" s="3">
        <f>O16-SUM(O5:O12)</f>
        <v>-89</v>
      </c>
    </row>
    <row r="17" spans="1:16" ht="14.25" customHeight="1">
      <c r="A17" s="8" t="s">
        <v>5</v>
      </c>
      <c r="B17" s="2">
        <f t="shared" ref="B17:P17" si="1">C16</f>
        <v>58</v>
      </c>
      <c r="C17" s="2">
        <f t="shared" si="1"/>
        <v>13</v>
      </c>
      <c r="D17" s="2">
        <f t="shared" si="1"/>
        <v>-25</v>
      </c>
      <c r="E17" s="2">
        <f t="shared" si="1"/>
        <v>-54</v>
      </c>
      <c r="F17" s="2">
        <f t="shared" si="1"/>
        <v>-74</v>
      </c>
      <c r="G17" s="2">
        <f t="shared" si="1"/>
        <v>-74</v>
      </c>
      <c r="H17" s="2">
        <f t="shared" si="1"/>
        <v>-84</v>
      </c>
      <c r="I17" s="2">
        <f t="shared" si="1"/>
        <v>-88</v>
      </c>
      <c r="J17" s="2">
        <f t="shared" si="1"/>
        <v>-89</v>
      </c>
      <c r="K17" s="2">
        <f t="shared" si="1"/>
        <v>-89</v>
      </c>
      <c r="L17" s="2">
        <f t="shared" si="1"/>
        <v>-89</v>
      </c>
      <c r="M17" s="2">
        <f t="shared" si="1"/>
        <v>-89</v>
      </c>
      <c r="N17" s="2">
        <f t="shared" si="1"/>
        <v>-89</v>
      </c>
      <c r="O17" s="2">
        <f t="shared" si="1"/>
        <v>-89</v>
      </c>
      <c r="P17" s="2">
        <f t="shared" si="1"/>
        <v>0</v>
      </c>
    </row>
    <row r="18" spans="1:16" ht="14.25" customHeight="1">
      <c r="A18" s="2"/>
      <c r="B18" s="3">
        <f>SUM(B5:B12)</f>
        <v>52</v>
      </c>
      <c r="C18" s="3">
        <f>SUM(B5:B12)</f>
        <v>52</v>
      </c>
      <c r="D18" s="3">
        <f t="shared" ref="D18:G18" si="2">C18-(SUM($B$5:$B$12)/5)</f>
        <v>41.6</v>
      </c>
      <c r="E18" s="3">
        <f t="shared" si="2"/>
        <v>31.200000000000003</v>
      </c>
      <c r="F18" s="3">
        <f t="shared" si="2"/>
        <v>20.800000000000004</v>
      </c>
      <c r="G18" s="3">
        <f t="shared" si="2"/>
        <v>10.400000000000004</v>
      </c>
      <c r="H18" s="3">
        <f>SUM(G5:G12)</f>
        <v>15</v>
      </c>
      <c r="I18" s="3">
        <f t="shared" ref="I18:L18" si="3">H18-(SUM($B$5:$B$12)/5)</f>
        <v>4.5999999999999996</v>
      </c>
      <c r="J18" s="3">
        <f t="shared" si="3"/>
        <v>-5.8000000000000007</v>
      </c>
      <c r="K18" s="3">
        <f t="shared" si="3"/>
        <v>-16.200000000000003</v>
      </c>
      <c r="L18" s="3">
        <f t="shared" si="3"/>
        <v>-26.6</v>
      </c>
      <c r="M18" s="3">
        <f>SUM(L5:L12)</f>
        <v>0</v>
      </c>
      <c r="N18" s="3">
        <f t="shared" ref="N18:P18" si="4">M18-(SUM($B$5:$B$12)/5)</f>
        <v>-10.4</v>
      </c>
      <c r="O18" s="3">
        <f t="shared" si="4"/>
        <v>-20.8</v>
      </c>
      <c r="P18" s="3">
        <f t="shared" si="4"/>
        <v>-31.200000000000003</v>
      </c>
    </row>
    <row r="19" spans="1:16" ht="14.25" customHeight="1">
      <c r="A19" s="8" t="s">
        <v>6</v>
      </c>
      <c r="B19" s="2">
        <f>B18</f>
        <v>52</v>
      </c>
      <c r="C19" s="2">
        <f t="shared" ref="C19:P19" si="5">D18</f>
        <v>41.6</v>
      </c>
      <c r="D19" s="2">
        <f t="shared" si="5"/>
        <v>31.200000000000003</v>
      </c>
      <c r="E19" s="2">
        <f t="shared" si="5"/>
        <v>20.800000000000004</v>
      </c>
      <c r="F19" s="2">
        <f t="shared" si="5"/>
        <v>10.400000000000004</v>
      </c>
      <c r="G19" s="2">
        <f t="shared" si="5"/>
        <v>15</v>
      </c>
      <c r="H19" s="2">
        <f t="shared" si="5"/>
        <v>4.5999999999999996</v>
      </c>
      <c r="I19" s="2">
        <f t="shared" si="5"/>
        <v>-5.8000000000000007</v>
      </c>
      <c r="J19" s="2">
        <f t="shared" si="5"/>
        <v>-16.200000000000003</v>
      </c>
      <c r="K19" s="2">
        <f t="shared" si="5"/>
        <v>-26.6</v>
      </c>
      <c r="L19" s="2">
        <f t="shared" si="5"/>
        <v>0</v>
      </c>
      <c r="M19" s="2">
        <f t="shared" si="5"/>
        <v>-10.4</v>
      </c>
      <c r="N19" s="2">
        <f t="shared" si="5"/>
        <v>-20.8</v>
      </c>
      <c r="O19" s="2">
        <f t="shared" si="5"/>
        <v>-31.200000000000003</v>
      </c>
      <c r="P19" s="2">
        <f t="shared" si="5"/>
        <v>0</v>
      </c>
    </row>
    <row r="20" spans="1:16" ht="14.25" customHeight="1">
      <c r="A20" s="2"/>
      <c r="B20" s="9"/>
      <c r="C20" s="2"/>
      <c r="D20" s="2"/>
      <c r="E20" s="2"/>
      <c r="F20" s="2"/>
      <c r="G20" s="9"/>
      <c r="H20" s="2"/>
      <c r="I20" s="2"/>
      <c r="J20" s="2"/>
      <c r="K20" s="2"/>
      <c r="L20" s="2"/>
      <c r="M20" s="2"/>
      <c r="N20" s="2"/>
    </row>
    <row r="21" spans="1:16" ht="14.25" customHeight="1">
      <c r="A21" s="2"/>
      <c r="B21" s="9"/>
      <c r="C21" s="2"/>
      <c r="D21" s="2"/>
      <c r="E21" s="2"/>
      <c r="F21" s="2"/>
      <c r="G21" s="9"/>
      <c r="H21" s="2"/>
      <c r="I21" s="2"/>
      <c r="J21" s="2"/>
      <c r="K21" s="2"/>
      <c r="L21" s="2"/>
      <c r="M21" s="2"/>
      <c r="N21" s="2"/>
    </row>
    <row r="22" spans="1:16" ht="14.25" customHeight="1">
      <c r="A22" s="2"/>
      <c r="B22" s="9"/>
      <c r="C22" s="2"/>
      <c r="D22" s="2"/>
      <c r="E22" s="2"/>
      <c r="F22" s="2"/>
      <c r="G22" s="9"/>
      <c r="H22" s="2"/>
      <c r="I22" s="2"/>
      <c r="J22" s="2"/>
      <c r="K22" s="2"/>
      <c r="L22" s="2"/>
      <c r="M22" s="2"/>
      <c r="N22" s="2"/>
    </row>
    <row r="23" spans="1:16" ht="14.25" customHeight="1"/>
    <row r="24" spans="1:16" ht="14.25" customHeight="1"/>
    <row r="25" spans="1:16" ht="14.25" customHeight="1"/>
    <row r="26" spans="1:16" ht="14.25" customHeight="1"/>
    <row r="27" spans="1:16" ht="14.25" customHeight="1"/>
    <row r="28" spans="1:16" ht="14.25" customHeight="1"/>
    <row r="29" spans="1:16" ht="14.25" customHeight="1"/>
    <row r="30" spans="1:16" ht="14.25" customHeight="1"/>
    <row r="31" spans="1:16" ht="14.25" customHeight="1"/>
    <row r="32" spans="1:1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</sheetData>
  <mergeCells count="4">
    <mergeCell ref="A3:A4"/>
    <mergeCell ref="B3:B4"/>
    <mergeCell ref="C3:P3"/>
    <mergeCell ref="Q3:Q4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luis</cp:lastModifiedBy>
  <dcterms:created xsi:type="dcterms:W3CDTF">2018-02-12T12:05:26Z</dcterms:created>
  <dcterms:modified xsi:type="dcterms:W3CDTF">2026-05-22T21:25:54Z</dcterms:modified>
</cp:coreProperties>
</file>